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m.deoliveiradejes/Dropbox (Personal)/AG_EC_GreenH2/MISE_P3/Software/"/>
    </mc:Choice>
  </mc:AlternateContent>
  <xr:revisionPtr revIDLastSave="0" documentId="13_ncr:1_{98475C63-A4E4-1049-8701-60CC47117621}" xr6:coauthVersionLast="47" xr6:coauthVersionMax="47" xr10:uidLastSave="{00000000-0000-0000-0000-000000000000}"/>
  <bookViews>
    <workbookView xWindow="740" yWindow="1000" windowWidth="26460" windowHeight="14160" xr2:uid="{F69CE40A-5592-C346-8146-8E46198F2A66}"/>
  </bookViews>
  <sheets>
    <sheet name="Metodo 1" sheetId="3" r:id="rId1"/>
    <sheet name="Metodo 2" sheetId="4" r:id="rId2"/>
  </sheets>
  <definedNames>
    <definedName name="solver_adj" localSheetId="1" hidden="1">'Metodo 2'!$J$15:$J$16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itr" localSheetId="1" hidden="1">2147483647</definedName>
    <definedName name="solver_lhs1" localSheetId="1" hidden="1">'Metodo 2'!$G$15:$G$16</definedName>
    <definedName name="solver_lin" localSheetId="1" hidden="1">2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1</definedName>
    <definedName name="solver_pre" localSheetId="1" hidden="1">0.000001</definedName>
    <definedName name="solver_rbv" localSheetId="1" hidden="1">1</definedName>
    <definedName name="solver_rel1" localSheetId="1" hidden="1">2</definedName>
    <definedName name="solver_rhs1" localSheetId="1" hidden="1">'Metodo 2'!$J$15:$J$16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3</definedName>
    <definedName name="solver_val" localSheetId="1" hidden="1">0</definedName>
    <definedName name="solver_ver" localSheetId="1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4" l="1"/>
  <c r="E7" i="4"/>
  <c r="E6" i="4"/>
  <c r="B30" i="4"/>
  <c r="B7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8" i="4"/>
  <c r="E13" i="4"/>
  <c r="G16" i="4" s="1"/>
  <c r="E8" i="4"/>
  <c r="E9" i="4" s="1"/>
  <c r="G15" i="4" s="1"/>
  <c r="E11" i="4"/>
  <c r="E10" i="4"/>
  <c r="E13" i="3"/>
  <c r="E11" i="3"/>
  <c r="E10" i="3"/>
  <c r="E8" i="3"/>
  <c r="E9" i="3" s="1"/>
  <c r="G15" i="3" s="1"/>
  <c r="G17" i="4" l="1"/>
  <c r="G18" i="4" s="1"/>
  <c r="G16" i="3"/>
  <c r="G17" i="3" s="1"/>
  <c r="G18" i="3" s="1"/>
</calcChain>
</file>

<file path=xl/sharedStrings.xml><?xml version="1.0" encoding="utf-8"?>
<sst xmlns="http://schemas.openxmlformats.org/spreadsheetml/2006/main" count="83" uniqueCount="38">
  <si>
    <t>HDS</t>
  </si>
  <si>
    <t>h</t>
  </si>
  <si>
    <t>Hmed</t>
  </si>
  <si>
    <t>PLmax</t>
  </si>
  <si>
    <t xml:space="preserve">GHI Medio </t>
  </si>
  <si>
    <t>W/m2</t>
  </si>
  <si>
    <t>hora</t>
  </si>
  <si>
    <t>kW</t>
  </si>
  <si>
    <t>Datos:</t>
  </si>
  <si>
    <t>DoD</t>
  </si>
  <si>
    <t>HPS</t>
  </si>
  <si>
    <t>GHI</t>
  </si>
  <si>
    <t>W/m2/dia</t>
  </si>
  <si>
    <t>h/dia</t>
  </si>
  <si>
    <t>Hmn</t>
  </si>
  <si>
    <t xml:space="preserve">h </t>
  </si>
  <si>
    <t>Hmx</t>
  </si>
  <si>
    <t>P_pv_inst</t>
  </si>
  <si>
    <t>Fcmax</t>
  </si>
  <si>
    <t>1)</t>
  </si>
  <si>
    <t>=</t>
  </si>
  <si>
    <t>kWp</t>
  </si>
  <si>
    <t>2)</t>
  </si>
  <si>
    <t>3)</t>
  </si>
  <si>
    <t>W_bess_mx</t>
  </si>
  <si>
    <t>kWh</t>
  </si>
  <si>
    <t>4)</t>
  </si>
  <si>
    <t>C</t>
  </si>
  <si>
    <t>kWh/dia</t>
  </si>
  <si>
    <t>Paulo Manuel De Oliveira  pdeoliv@gmail.com</t>
  </si>
  <si>
    <t>Ububación: Rio Hacha, La Guajira, Colombia</t>
  </si>
  <si>
    <t>Método 2</t>
  </si>
  <si>
    <r>
      <rPr>
        <sz val="12"/>
        <color rgb="FF002060"/>
        <rFont val="Symbol"/>
        <charset val="2"/>
      </rPr>
      <t>h</t>
    </r>
    <r>
      <rPr>
        <sz val="12"/>
        <color rgb="FF002060"/>
        <rFont val="Calibri"/>
        <family val="2"/>
        <scheme val="minor"/>
      </rPr>
      <t>PV</t>
    </r>
  </si>
  <si>
    <r>
      <rPr>
        <sz val="12"/>
        <color rgb="FF002060"/>
        <rFont val="Symbol"/>
        <charset val="2"/>
      </rPr>
      <t>h</t>
    </r>
    <r>
      <rPr>
        <sz val="12"/>
        <color rgb="FF002060"/>
        <rFont val="Calibri"/>
        <family val="2"/>
        <charset val="2"/>
        <scheme val="minor"/>
      </rPr>
      <t>BESS</t>
    </r>
  </si>
  <si>
    <t>Solución</t>
  </si>
  <si>
    <t>Solver</t>
  </si>
  <si>
    <t xml:space="preserve">Dimensionamiento de Sistema PV y BESS  </t>
  </si>
  <si>
    <t>Método 1 - No considera eficiencias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</si>
</sst>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charset val="2"/>
      <scheme val="minor"/>
    </font>
    <font>
      <sz val="12"/>
      <color rgb="FF002060"/>
      <name val="Calibri"/>
      <family val="2"/>
      <charset val="2"/>
      <scheme val="minor"/>
    </font>
    <font>
      <sz val="12"/>
      <color rgb="FF002060"/>
      <name val="Symbol"/>
      <charset val="2"/>
    </font>
    <font>
      <sz val="12"/>
      <color theme="2" tint="-0.8999908444471571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9" fontId="0" fillId="2" borderId="0" xfId="0" applyNumberFormat="1" applyFill="1"/>
    <xf numFmtId="164" fontId="0" fillId="2" borderId="0" xfId="0" applyNumberFormat="1" applyFill="1"/>
    <xf numFmtId="0" fontId="2" fillId="2" borderId="0" xfId="0" applyFont="1" applyFill="1"/>
    <xf numFmtId="9" fontId="2" fillId="2" borderId="0" xfId="0" applyNumberFormat="1" applyFont="1" applyFill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/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0" xfId="0" applyFont="1" applyFill="1" applyAlignment="1">
      <alignment horizontal="center"/>
    </xf>
    <xf numFmtId="0" fontId="3" fillId="2" borderId="0" xfId="0" applyFont="1" applyFill="1"/>
    <xf numFmtId="0" fontId="4" fillId="2" borderId="0" xfId="0" applyFont="1" applyFill="1"/>
    <xf numFmtId="164" fontId="4" fillId="2" borderId="0" xfId="0" applyNumberFormat="1" applyFont="1" applyFill="1"/>
    <xf numFmtId="9" fontId="0" fillId="2" borderId="0" xfId="1" applyFont="1" applyFill="1"/>
    <xf numFmtId="0" fontId="5" fillId="2" borderId="0" xfId="0" applyFont="1" applyFill="1"/>
    <xf numFmtId="0" fontId="6" fillId="2" borderId="0" xfId="0" applyFont="1" applyFill="1"/>
    <xf numFmtId="0" fontId="4" fillId="0" borderId="0" xfId="0" applyFont="1"/>
    <xf numFmtId="164" fontId="4" fillId="3" borderId="0" xfId="0" applyNumberFormat="1" applyFont="1" applyFill="1" applyAlignment="1">
      <alignment horizontal="center"/>
    </xf>
    <xf numFmtId="0" fontId="4" fillId="0" borderId="0" xfId="0" applyFont="1" applyAlignment="1">
      <alignment horizontal="center"/>
    </xf>
    <xf numFmtId="0" fontId="8" fillId="2" borderId="0" xfId="0" applyFont="1" applyFill="1"/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/>
    <xf numFmtId="0" fontId="8" fillId="2" borderId="2" xfId="0" applyFont="1" applyFill="1" applyBorder="1" applyAlignment="1">
      <alignment horizontal="center"/>
    </xf>
    <xf numFmtId="0" fontId="8" fillId="2" borderId="1" xfId="0" applyFont="1" applyFill="1" applyBorder="1"/>
    <xf numFmtId="0" fontId="8" fillId="2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'Metodo 1'!$B$5:$B$6</c:f>
              <c:strCache>
                <c:ptCount val="2"/>
                <c:pt idx="0">
                  <c:v>GHI Medio </c:v>
                </c:pt>
                <c:pt idx="1">
                  <c:v>W/m2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'Metodo 1'!$B$7:$B$30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68.040000000000006</c:v>
                </c:pt>
                <c:pt idx="7">
                  <c:v>259.27999999999997</c:v>
                </c:pt>
                <c:pt idx="8">
                  <c:v>446.66</c:v>
                </c:pt>
                <c:pt idx="9">
                  <c:v>613.61</c:v>
                </c:pt>
                <c:pt idx="10">
                  <c:v>739.7</c:v>
                </c:pt>
                <c:pt idx="11">
                  <c:v>796.76</c:v>
                </c:pt>
                <c:pt idx="12">
                  <c:v>791.05</c:v>
                </c:pt>
                <c:pt idx="13">
                  <c:v>704.54</c:v>
                </c:pt>
                <c:pt idx="14">
                  <c:v>553.16</c:v>
                </c:pt>
                <c:pt idx="15">
                  <c:v>374.21</c:v>
                </c:pt>
                <c:pt idx="16">
                  <c:v>192.63</c:v>
                </c:pt>
                <c:pt idx="17">
                  <c:v>45.6</c:v>
                </c:pt>
                <c:pt idx="18">
                  <c:v>0.35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9D-584F-88FA-99E500C5DF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0394720"/>
        <c:axId val="1714720208"/>
      </c:lineChart>
      <c:catAx>
        <c:axId val="17403947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4720208"/>
        <c:crosses val="autoZero"/>
        <c:auto val="1"/>
        <c:lblAlgn val="ctr"/>
        <c:lblOffset val="100"/>
        <c:noMultiLvlLbl val="0"/>
      </c:catAx>
      <c:valAx>
        <c:axId val="171472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0394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'Metodo 2'!$B$5:$B$6</c:f>
              <c:strCache>
                <c:ptCount val="2"/>
                <c:pt idx="0">
                  <c:v>GHI Medio </c:v>
                </c:pt>
                <c:pt idx="1">
                  <c:v>W/m2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'Metodo 2'!$B$7:$B$30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68.040000000000006</c:v>
                </c:pt>
                <c:pt idx="7">
                  <c:v>259.27999999999997</c:v>
                </c:pt>
                <c:pt idx="8">
                  <c:v>446.66</c:v>
                </c:pt>
                <c:pt idx="9">
                  <c:v>613.61</c:v>
                </c:pt>
                <c:pt idx="10">
                  <c:v>739.7</c:v>
                </c:pt>
                <c:pt idx="11">
                  <c:v>796.76</c:v>
                </c:pt>
                <c:pt idx="12">
                  <c:v>791.05</c:v>
                </c:pt>
                <c:pt idx="13">
                  <c:v>704.54</c:v>
                </c:pt>
                <c:pt idx="14">
                  <c:v>553.16</c:v>
                </c:pt>
                <c:pt idx="15">
                  <c:v>374.21</c:v>
                </c:pt>
                <c:pt idx="16">
                  <c:v>192.63</c:v>
                </c:pt>
                <c:pt idx="17">
                  <c:v>45.6</c:v>
                </c:pt>
                <c:pt idx="18">
                  <c:v>0.35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93-F047-801D-2DF6D7B8CC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0394720"/>
        <c:axId val="1714720208"/>
      </c:lineChart>
      <c:catAx>
        <c:axId val="17403947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4720208"/>
        <c:crosses val="autoZero"/>
        <c:auto val="1"/>
        <c:lblAlgn val="ctr"/>
        <c:lblOffset val="100"/>
        <c:noMultiLvlLbl val="0"/>
      </c:catAx>
      <c:valAx>
        <c:axId val="171472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0394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88900</xdr:colOff>
      <xdr:row>2</xdr:row>
      <xdr:rowOff>196850</xdr:rowOff>
    </xdr:from>
    <xdr:to>
      <xdr:col>14</xdr:col>
      <xdr:colOff>533400</xdr:colOff>
      <xdr:row>17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CD5DCF-D719-1D2E-3193-E277622E93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203200</xdr:colOff>
      <xdr:row>4</xdr:row>
      <xdr:rowOff>171450</xdr:rowOff>
    </xdr:from>
    <xdr:to>
      <xdr:col>16</xdr:col>
      <xdr:colOff>647700</xdr:colOff>
      <xdr:row>19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A1EA4F-40D9-A146-8443-2428322422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14</xdr:row>
      <xdr:rowOff>88900</xdr:rowOff>
    </xdr:from>
    <xdr:to>
      <xdr:col>3</xdr:col>
      <xdr:colOff>774700</xdr:colOff>
      <xdr:row>15</xdr:row>
      <xdr:rowOff>152400</xdr:rowOff>
    </xdr:to>
    <xdr:sp macro="" textlink="">
      <xdr:nvSpPr>
        <xdr:cNvPr id="3" name="Left Brace 2">
          <a:extLst>
            <a:ext uri="{FF2B5EF4-FFF2-40B4-BE49-F238E27FC236}">
              <a16:creationId xmlns:a16="http://schemas.microsoft.com/office/drawing/2014/main" id="{2B5F28E8-8D45-9996-B043-4720C73B4088}"/>
            </a:ext>
          </a:extLst>
        </xdr:cNvPr>
        <xdr:cNvSpPr/>
      </xdr:nvSpPr>
      <xdr:spPr>
        <a:xfrm>
          <a:off x="3086100" y="2933700"/>
          <a:ext cx="165100" cy="266700"/>
        </a:xfrm>
        <a:prstGeom prst="lef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735E4-8D52-0844-BF75-6FA9CB5EFC34}">
  <dimension ref="A1:H31"/>
  <sheetViews>
    <sheetView tabSelected="1" workbookViewId="0">
      <selection activeCell="D4" sqref="D4"/>
    </sheetView>
  </sheetViews>
  <sheetFormatPr baseColWidth="10" defaultRowHeight="16" x14ac:dyDescent="0.2"/>
  <cols>
    <col min="6" max="6" width="3.5" customWidth="1"/>
    <col min="7" max="7" width="6.83203125" customWidth="1"/>
  </cols>
  <sheetData>
    <row r="1" spans="1:8" x14ac:dyDescent="0.2">
      <c r="A1" s="2" t="s">
        <v>36</v>
      </c>
      <c r="B1" s="2"/>
      <c r="C1" s="2"/>
      <c r="D1" s="2"/>
      <c r="E1" s="2"/>
      <c r="F1" s="2"/>
      <c r="G1" s="2"/>
      <c r="H1" s="2"/>
    </row>
    <row r="2" spans="1:8" x14ac:dyDescent="0.2">
      <c r="A2" s="2" t="s">
        <v>29</v>
      </c>
      <c r="B2" s="2"/>
      <c r="C2" s="2"/>
      <c r="D2" s="2"/>
      <c r="E2" s="2"/>
      <c r="F2" s="2"/>
      <c r="G2" s="2"/>
      <c r="H2" s="2"/>
    </row>
    <row r="3" spans="1:8" x14ac:dyDescent="0.2">
      <c r="A3" s="2" t="s">
        <v>30</v>
      </c>
      <c r="B3" s="2"/>
      <c r="C3" s="2"/>
      <c r="D3" s="2"/>
      <c r="E3" s="2"/>
      <c r="F3" s="2"/>
      <c r="G3" s="2"/>
      <c r="H3" s="2"/>
    </row>
    <row r="4" spans="1:8" x14ac:dyDescent="0.2">
      <c r="A4" s="2"/>
      <c r="B4" s="2"/>
      <c r="C4" s="2"/>
      <c r="D4" s="2" t="s">
        <v>37</v>
      </c>
      <c r="E4" s="2"/>
      <c r="F4" s="2"/>
      <c r="G4" s="2"/>
      <c r="H4" s="2"/>
    </row>
    <row r="5" spans="1:8" x14ac:dyDescent="0.2">
      <c r="A5" s="8" t="s">
        <v>6</v>
      </c>
      <c r="B5" s="8" t="s">
        <v>4</v>
      </c>
      <c r="C5" s="2"/>
      <c r="D5" s="13" t="s">
        <v>8</v>
      </c>
      <c r="E5" s="2"/>
      <c r="F5" s="2"/>
      <c r="G5" s="2"/>
      <c r="H5" s="2"/>
    </row>
    <row r="6" spans="1:8" x14ac:dyDescent="0.2">
      <c r="A6" s="9"/>
      <c r="B6" s="10" t="s">
        <v>5</v>
      </c>
      <c r="C6" s="2"/>
      <c r="D6" s="6" t="s">
        <v>3</v>
      </c>
      <c r="E6" s="6">
        <v>2</v>
      </c>
      <c r="F6" s="6" t="s">
        <v>7</v>
      </c>
      <c r="G6" s="6"/>
      <c r="H6" s="2"/>
    </row>
    <row r="7" spans="1:8" x14ac:dyDescent="0.2">
      <c r="A7" s="11">
        <v>1</v>
      </c>
      <c r="B7" s="8">
        <v>0</v>
      </c>
      <c r="C7" s="2"/>
      <c r="D7" s="6" t="s">
        <v>9</v>
      </c>
      <c r="E7" s="7">
        <v>0.9</v>
      </c>
      <c r="F7" s="6"/>
      <c r="G7" s="6"/>
      <c r="H7" s="2"/>
    </row>
    <row r="8" spans="1:8" x14ac:dyDescent="0.2">
      <c r="A8" s="6">
        <v>2</v>
      </c>
      <c r="B8" s="12">
        <v>0</v>
      </c>
      <c r="C8" s="2"/>
      <c r="D8" s="2" t="s">
        <v>11</v>
      </c>
      <c r="E8" s="2">
        <f>SUM(B7:B31)</f>
        <v>5585.5900000000011</v>
      </c>
      <c r="F8" s="2" t="s">
        <v>12</v>
      </c>
      <c r="G8" s="2"/>
      <c r="H8" s="2"/>
    </row>
    <row r="9" spans="1:8" x14ac:dyDescent="0.2">
      <c r="A9" s="6">
        <v>3</v>
      </c>
      <c r="B9" s="12">
        <v>0</v>
      </c>
      <c r="C9" s="2"/>
      <c r="D9" s="2" t="s">
        <v>10</v>
      </c>
      <c r="E9" s="5">
        <f>E8/1000</f>
        <v>5.5855900000000007</v>
      </c>
      <c r="F9" s="2" t="s">
        <v>13</v>
      </c>
      <c r="G9" s="2"/>
      <c r="H9" s="2"/>
    </row>
    <row r="10" spans="1:8" x14ac:dyDescent="0.2">
      <c r="A10" s="6">
        <v>4</v>
      </c>
      <c r="B10" s="12">
        <v>0</v>
      </c>
      <c r="C10" s="2"/>
      <c r="D10" s="2" t="s">
        <v>14</v>
      </c>
      <c r="E10" s="2">
        <f>A12</f>
        <v>6</v>
      </c>
      <c r="F10" s="2" t="s">
        <v>15</v>
      </c>
      <c r="G10" s="2"/>
      <c r="H10" s="2"/>
    </row>
    <row r="11" spans="1:8" x14ac:dyDescent="0.2">
      <c r="A11" s="6">
        <v>5</v>
      </c>
      <c r="B11" s="12">
        <v>0</v>
      </c>
      <c r="C11" s="2"/>
      <c r="D11" s="2" t="s">
        <v>2</v>
      </c>
      <c r="E11" s="2">
        <f>12</f>
        <v>12</v>
      </c>
      <c r="F11" s="2" t="s">
        <v>1</v>
      </c>
      <c r="G11" s="2"/>
      <c r="H11" s="2"/>
    </row>
    <row r="12" spans="1:8" x14ac:dyDescent="0.2">
      <c r="A12" s="6">
        <v>6</v>
      </c>
      <c r="B12" s="12">
        <v>0</v>
      </c>
      <c r="C12" s="2"/>
      <c r="D12" s="2" t="s">
        <v>16</v>
      </c>
      <c r="E12" s="2">
        <v>19</v>
      </c>
      <c r="F12" s="2" t="s">
        <v>1</v>
      </c>
      <c r="G12" s="2"/>
      <c r="H12" s="2"/>
    </row>
    <row r="13" spans="1:8" x14ac:dyDescent="0.2">
      <c r="A13" s="6">
        <v>7</v>
      </c>
      <c r="B13" s="12">
        <v>68.040000000000006</v>
      </c>
      <c r="C13" s="2"/>
      <c r="D13" s="2" t="s">
        <v>18</v>
      </c>
      <c r="E13" s="16">
        <f>B18/1000</f>
        <v>0.79676000000000002</v>
      </c>
      <c r="F13" s="2"/>
      <c r="G13" s="2"/>
      <c r="H13" s="2"/>
    </row>
    <row r="14" spans="1:8" x14ac:dyDescent="0.2">
      <c r="A14" s="6">
        <v>8</v>
      </c>
      <c r="B14" s="12">
        <v>259.27999999999997</v>
      </c>
      <c r="C14" s="2"/>
      <c r="D14" s="2"/>
      <c r="E14" s="2"/>
      <c r="F14" s="2"/>
      <c r="G14" s="2"/>
      <c r="H14" s="2"/>
    </row>
    <row r="15" spans="1:8" x14ac:dyDescent="0.2">
      <c r="A15" s="6">
        <v>9</v>
      </c>
      <c r="B15" s="12">
        <v>446.66</v>
      </c>
      <c r="C15" s="2"/>
      <c r="D15" s="2" t="s">
        <v>19</v>
      </c>
      <c r="E15" s="14" t="s">
        <v>17</v>
      </c>
      <c r="F15" s="14" t="s">
        <v>20</v>
      </c>
      <c r="G15" s="15">
        <f>24*E6/E9</f>
        <v>8.5935415954268031</v>
      </c>
      <c r="H15" s="14" t="s">
        <v>21</v>
      </c>
    </row>
    <row r="16" spans="1:8" x14ac:dyDescent="0.2">
      <c r="A16" s="6">
        <v>10</v>
      </c>
      <c r="B16" s="12">
        <v>613.61</v>
      </c>
      <c r="C16" s="2"/>
      <c r="D16" s="2" t="s">
        <v>22</v>
      </c>
      <c r="E16" s="2" t="s">
        <v>0</v>
      </c>
      <c r="F16" s="2" t="s">
        <v>20</v>
      </c>
      <c r="G16" s="5">
        <f>1.05*(E12+E6*(E11-E12)/(G15*E13))-0.95*(E10+(E11-E10)*E6/(E13*G15))</f>
        <v>10.438106126688087</v>
      </c>
      <c r="H16" s="2" t="s">
        <v>13</v>
      </c>
    </row>
    <row r="17" spans="1:8" x14ac:dyDescent="0.2">
      <c r="A17" s="6">
        <v>11</v>
      </c>
      <c r="B17" s="12">
        <v>739.7</v>
      </c>
      <c r="C17" s="2"/>
      <c r="D17" s="2" t="s">
        <v>23</v>
      </c>
      <c r="E17" s="2" t="s">
        <v>24</v>
      </c>
      <c r="F17" s="2" t="s">
        <v>20</v>
      </c>
      <c r="G17" s="5">
        <f>G15*E9-E6*G16</f>
        <v>27.123787746623826</v>
      </c>
      <c r="H17" s="2" t="s">
        <v>28</v>
      </c>
    </row>
    <row r="18" spans="1:8" x14ac:dyDescent="0.2">
      <c r="A18" s="6">
        <v>12</v>
      </c>
      <c r="B18" s="12">
        <v>796.76</v>
      </c>
      <c r="C18" s="2"/>
      <c r="D18" s="2" t="s">
        <v>26</v>
      </c>
      <c r="E18" s="14" t="s">
        <v>27</v>
      </c>
      <c r="F18" s="14" t="s">
        <v>20</v>
      </c>
      <c r="G18" s="15">
        <f>G17/E7</f>
        <v>30.13754194069314</v>
      </c>
      <c r="H18" s="14" t="s">
        <v>25</v>
      </c>
    </row>
    <row r="19" spans="1:8" x14ac:dyDescent="0.2">
      <c r="A19" s="6">
        <v>13</v>
      </c>
      <c r="B19" s="12">
        <v>791.05</v>
      </c>
      <c r="C19" s="2"/>
      <c r="D19" s="2"/>
      <c r="E19" s="2"/>
      <c r="F19" s="2"/>
      <c r="G19" s="2"/>
      <c r="H19" s="2"/>
    </row>
    <row r="20" spans="1:8" x14ac:dyDescent="0.2">
      <c r="A20" s="6">
        <v>14</v>
      </c>
      <c r="B20" s="12">
        <v>704.54</v>
      </c>
      <c r="C20" s="2"/>
      <c r="D20" s="2"/>
      <c r="E20" s="2"/>
      <c r="F20" s="2"/>
      <c r="G20" s="2"/>
      <c r="H20" s="2"/>
    </row>
    <row r="21" spans="1:8" x14ac:dyDescent="0.2">
      <c r="A21" s="6">
        <v>15</v>
      </c>
      <c r="B21" s="12">
        <v>553.16</v>
      </c>
      <c r="C21" s="2"/>
      <c r="D21" s="17"/>
      <c r="E21" s="4"/>
      <c r="F21" s="2"/>
      <c r="G21" s="2"/>
      <c r="H21" s="2"/>
    </row>
    <row r="22" spans="1:8" x14ac:dyDescent="0.2">
      <c r="A22" s="6">
        <v>16</v>
      </c>
      <c r="B22" s="12">
        <v>374.21</v>
      </c>
      <c r="C22" s="2"/>
      <c r="D22" s="17"/>
      <c r="E22" s="4"/>
      <c r="F22" s="2"/>
      <c r="G22" s="2"/>
      <c r="H22" s="2"/>
    </row>
    <row r="23" spans="1:8" x14ac:dyDescent="0.2">
      <c r="A23" s="6">
        <v>17</v>
      </c>
      <c r="B23" s="12">
        <v>192.63</v>
      </c>
      <c r="C23" s="2"/>
      <c r="D23" s="2"/>
      <c r="E23" s="2"/>
      <c r="F23" s="2"/>
      <c r="G23" s="2"/>
      <c r="H23" s="2"/>
    </row>
    <row r="24" spans="1:8" x14ac:dyDescent="0.2">
      <c r="A24" s="6">
        <v>18</v>
      </c>
      <c r="B24" s="12">
        <v>45.6</v>
      </c>
      <c r="C24" s="2"/>
      <c r="D24" s="2"/>
      <c r="E24" s="14"/>
      <c r="F24" s="14"/>
      <c r="G24" s="15"/>
      <c r="H24" s="14"/>
    </row>
    <row r="25" spans="1:8" x14ac:dyDescent="0.2">
      <c r="A25" s="6">
        <v>19</v>
      </c>
      <c r="B25" s="12">
        <v>0.35</v>
      </c>
      <c r="C25" s="2"/>
      <c r="D25" s="2"/>
      <c r="E25" s="2"/>
      <c r="F25" s="2"/>
      <c r="G25" s="5"/>
      <c r="H25" s="2"/>
    </row>
    <row r="26" spans="1:8" x14ac:dyDescent="0.2">
      <c r="A26" s="6">
        <v>20</v>
      </c>
      <c r="B26" s="12">
        <v>0</v>
      </c>
      <c r="C26" s="2"/>
      <c r="D26" s="2"/>
      <c r="E26" s="2"/>
      <c r="F26" s="2"/>
      <c r="G26" s="5"/>
      <c r="H26" s="2"/>
    </row>
    <row r="27" spans="1:8" x14ac:dyDescent="0.2">
      <c r="A27" s="6">
        <v>21</v>
      </c>
      <c r="B27" s="12">
        <v>0</v>
      </c>
      <c r="C27" s="2"/>
      <c r="D27" s="2"/>
      <c r="E27" s="14"/>
      <c r="F27" s="14"/>
      <c r="G27" s="15"/>
      <c r="H27" s="14"/>
    </row>
    <row r="28" spans="1:8" x14ac:dyDescent="0.2">
      <c r="A28" s="6">
        <v>22</v>
      </c>
      <c r="B28" s="12">
        <v>0</v>
      </c>
      <c r="C28" s="2"/>
      <c r="D28" s="2"/>
      <c r="E28" s="2"/>
      <c r="F28" s="2"/>
      <c r="G28" s="2"/>
      <c r="H28" s="2"/>
    </row>
    <row r="29" spans="1:8" x14ac:dyDescent="0.2">
      <c r="A29" s="6">
        <v>23</v>
      </c>
      <c r="B29" s="12">
        <v>0</v>
      </c>
      <c r="C29" s="2"/>
      <c r="D29" s="2"/>
      <c r="E29" s="2"/>
      <c r="F29" s="2"/>
      <c r="G29" s="2"/>
      <c r="H29" s="2"/>
    </row>
    <row r="30" spans="1:8" x14ac:dyDescent="0.2">
      <c r="A30" s="9">
        <v>24</v>
      </c>
      <c r="B30" s="10">
        <v>0</v>
      </c>
      <c r="C30" s="2"/>
      <c r="D30" s="2"/>
      <c r="E30" s="2"/>
      <c r="F30" s="2"/>
      <c r="G30" s="2"/>
      <c r="H30" s="2"/>
    </row>
    <row r="31" spans="1:8" x14ac:dyDescent="0.2">
      <c r="A31" s="3"/>
      <c r="B31" s="3"/>
      <c r="C31" s="2"/>
      <c r="D31" s="2"/>
      <c r="E31" s="2"/>
      <c r="F31" s="2"/>
      <c r="G31" s="2"/>
      <c r="H31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8346A-DF13-FC4E-BEB1-F1815515645B}">
  <dimension ref="A1:K31"/>
  <sheetViews>
    <sheetView workbookViewId="0">
      <selection activeCell="A2" sqref="A2"/>
    </sheetView>
  </sheetViews>
  <sheetFormatPr baseColWidth="10" defaultRowHeight="16" x14ac:dyDescent="0.2"/>
  <cols>
    <col min="6" max="6" width="3.5" customWidth="1"/>
    <col min="7" max="7" width="6.83203125" customWidth="1"/>
    <col min="8" max="8" width="13" customWidth="1"/>
    <col min="10" max="10" width="10.83203125" style="1"/>
  </cols>
  <sheetData>
    <row r="1" spans="1:11" x14ac:dyDescent="0.2">
      <c r="A1" s="2" t="s">
        <v>36</v>
      </c>
      <c r="B1" s="2"/>
      <c r="C1" s="2"/>
      <c r="D1" s="2"/>
      <c r="E1" s="2"/>
      <c r="F1" s="2"/>
      <c r="G1" s="2"/>
      <c r="H1" s="2"/>
    </row>
    <row r="2" spans="1:11" x14ac:dyDescent="0.2">
      <c r="A2" s="2" t="s">
        <v>29</v>
      </c>
      <c r="B2" s="2"/>
      <c r="C2" s="2"/>
      <c r="D2" s="2"/>
      <c r="E2" s="2"/>
      <c r="F2" s="2"/>
      <c r="G2" s="2"/>
      <c r="H2" s="2"/>
    </row>
    <row r="3" spans="1:11" x14ac:dyDescent="0.2">
      <c r="A3" s="2" t="str">
        <f>'Metodo 1'!A3</f>
        <v>Ububación: Rio Hacha, La Guajira, Colombia</v>
      </c>
      <c r="B3" s="2"/>
      <c r="C3" s="2"/>
      <c r="D3" s="2"/>
      <c r="E3" s="2"/>
      <c r="F3" s="2"/>
      <c r="G3" s="2"/>
      <c r="H3" s="2"/>
    </row>
    <row r="4" spans="1:11" x14ac:dyDescent="0.2">
      <c r="A4" s="2"/>
      <c r="B4" s="2"/>
      <c r="C4" s="2"/>
      <c r="D4" s="2" t="s">
        <v>31</v>
      </c>
      <c r="E4" s="2"/>
      <c r="F4" s="2"/>
      <c r="G4" s="2"/>
      <c r="H4" s="2"/>
    </row>
    <row r="5" spans="1:11" x14ac:dyDescent="0.2">
      <c r="A5" s="23" t="s">
        <v>6</v>
      </c>
      <c r="B5" s="23" t="s">
        <v>4</v>
      </c>
      <c r="C5" s="2"/>
      <c r="D5" s="13" t="s">
        <v>8</v>
      </c>
      <c r="E5" s="2"/>
      <c r="F5" s="2"/>
      <c r="G5" s="2"/>
      <c r="H5" s="2"/>
    </row>
    <row r="6" spans="1:11" x14ac:dyDescent="0.2">
      <c r="A6" s="24"/>
      <c r="B6" s="25" t="s">
        <v>5</v>
      </c>
      <c r="C6" s="2"/>
      <c r="D6" s="22" t="s">
        <v>3</v>
      </c>
      <c r="E6" s="22">
        <f>'Metodo 1'!E6</f>
        <v>2</v>
      </c>
      <c r="F6" s="22" t="s">
        <v>7</v>
      </c>
      <c r="G6" s="22"/>
      <c r="H6" s="18" t="s">
        <v>32</v>
      </c>
      <c r="I6" s="7">
        <v>0.92</v>
      </c>
    </row>
    <row r="7" spans="1:11" x14ac:dyDescent="0.2">
      <c r="A7" s="26">
        <v>1</v>
      </c>
      <c r="B7" s="23">
        <f>'Metodo 1'!B7</f>
        <v>0</v>
      </c>
      <c r="C7" s="2"/>
      <c r="D7" s="22" t="s">
        <v>9</v>
      </c>
      <c r="E7" s="22">
        <f>'Metodo 1'!E7</f>
        <v>0.9</v>
      </c>
      <c r="F7" s="22"/>
      <c r="G7" s="22"/>
      <c r="H7" s="18" t="s">
        <v>33</v>
      </c>
      <c r="I7" s="7">
        <v>0.95</v>
      </c>
    </row>
    <row r="8" spans="1:11" x14ac:dyDescent="0.2">
      <c r="A8" s="22">
        <v>2</v>
      </c>
      <c r="B8" s="27">
        <f>'Metodo 1'!B8</f>
        <v>0</v>
      </c>
      <c r="C8" s="2"/>
      <c r="D8" s="2" t="s">
        <v>11</v>
      </c>
      <c r="E8" s="2">
        <f>SUM(B7:B31)</f>
        <v>5585.5900000000011</v>
      </c>
      <c r="F8" s="2" t="s">
        <v>12</v>
      </c>
      <c r="G8" s="2"/>
      <c r="H8" s="2"/>
    </row>
    <row r="9" spans="1:11" x14ac:dyDescent="0.2">
      <c r="A9" s="22">
        <v>3</v>
      </c>
      <c r="B9" s="27">
        <f>'Metodo 1'!B9</f>
        <v>0</v>
      </c>
      <c r="C9" s="2"/>
      <c r="D9" s="2" t="s">
        <v>10</v>
      </c>
      <c r="E9" s="5">
        <f>E8/1000</f>
        <v>5.5855900000000007</v>
      </c>
      <c r="F9" s="2" t="s">
        <v>13</v>
      </c>
      <c r="G9" s="2"/>
      <c r="H9" s="2"/>
    </row>
    <row r="10" spans="1:11" x14ac:dyDescent="0.2">
      <c r="A10" s="22">
        <v>4</v>
      </c>
      <c r="B10" s="27">
        <f>'Metodo 1'!B10</f>
        <v>0</v>
      </c>
      <c r="C10" s="2"/>
      <c r="D10" s="2" t="s">
        <v>14</v>
      </c>
      <c r="E10" s="2">
        <f>A12</f>
        <v>6</v>
      </c>
      <c r="F10" s="2" t="s">
        <v>15</v>
      </c>
      <c r="G10" s="2"/>
      <c r="H10" s="2"/>
    </row>
    <row r="11" spans="1:11" x14ac:dyDescent="0.2">
      <c r="A11" s="22">
        <v>5</v>
      </c>
      <c r="B11" s="27">
        <f>'Metodo 1'!B11</f>
        <v>0</v>
      </c>
      <c r="C11" s="2"/>
      <c r="D11" s="2" t="s">
        <v>2</v>
      </c>
      <c r="E11" s="2">
        <f>12</f>
        <v>12</v>
      </c>
      <c r="F11" s="2" t="s">
        <v>1</v>
      </c>
      <c r="G11" s="2"/>
      <c r="H11" s="2"/>
    </row>
    <row r="12" spans="1:11" x14ac:dyDescent="0.2">
      <c r="A12" s="22">
        <v>6</v>
      </c>
      <c r="B12" s="27">
        <f>'Metodo 1'!B12</f>
        <v>0</v>
      </c>
      <c r="C12" s="2"/>
      <c r="D12" s="2" t="s">
        <v>16</v>
      </c>
      <c r="E12" s="2">
        <v>19</v>
      </c>
      <c r="F12" s="2" t="s">
        <v>1</v>
      </c>
      <c r="G12" s="2"/>
      <c r="H12" s="2"/>
    </row>
    <row r="13" spans="1:11" x14ac:dyDescent="0.2">
      <c r="A13" s="22">
        <v>7</v>
      </c>
      <c r="B13" s="27">
        <f>'Metodo 1'!B13</f>
        <v>68.040000000000006</v>
      </c>
      <c r="C13" s="2"/>
      <c r="D13" s="2" t="s">
        <v>18</v>
      </c>
      <c r="E13" s="16">
        <f>B18/1000</f>
        <v>0.79676000000000002</v>
      </c>
      <c r="F13" s="2"/>
      <c r="G13" s="2"/>
      <c r="H13" s="2"/>
      <c r="J13" s="1" t="s">
        <v>34</v>
      </c>
    </row>
    <row r="14" spans="1:11" x14ac:dyDescent="0.2">
      <c r="A14" s="22">
        <v>8</v>
      </c>
      <c r="B14" s="27">
        <f>'Metodo 1'!B14</f>
        <v>259.27999999999997</v>
      </c>
      <c r="C14" s="2"/>
      <c r="D14" s="2"/>
      <c r="E14" s="2"/>
      <c r="F14" s="2"/>
      <c r="G14" s="2"/>
      <c r="H14" s="2"/>
      <c r="J14" s="1" t="s">
        <v>35</v>
      </c>
    </row>
    <row r="15" spans="1:11" x14ac:dyDescent="0.2">
      <c r="A15" s="22">
        <v>9</v>
      </c>
      <c r="B15" s="27">
        <f>'Metodo 1'!B15</f>
        <v>446.66</v>
      </c>
      <c r="C15" s="2"/>
      <c r="D15" s="2" t="s">
        <v>19</v>
      </c>
      <c r="E15" s="14" t="s">
        <v>17</v>
      </c>
      <c r="F15" s="14" t="s">
        <v>20</v>
      </c>
      <c r="G15" s="15">
        <f>(24*E6+J16*E6*(1-I7))/(E9*I6*I7)</f>
        <v>10.057610463902298</v>
      </c>
      <c r="H15" s="14" t="s">
        <v>21</v>
      </c>
      <c r="I15" s="14" t="s">
        <v>20</v>
      </c>
      <c r="J15" s="20">
        <v>10.0576104639023</v>
      </c>
      <c r="K15" s="14" t="s">
        <v>21</v>
      </c>
    </row>
    <row r="16" spans="1:11" x14ac:dyDescent="0.2">
      <c r="A16" s="22">
        <v>10</v>
      </c>
      <c r="B16" s="27">
        <f>'Metodo 1'!B16</f>
        <v>613.61</v>
      </c>
      <c r="C16" s="2"/>
      <c r="D16" s="2" t="s">
        <v>22</v>
      </c>
      <c r="E16" s="14" t="s">
        <v>0</v>
      </c>
      <c r="F16" s="14" t="s">
        <v>20</v>
      </c>
      <c r="G16" s="15">
        <f>1.05*(E12+E6*(E11-E12)/(J15*E13))-0.95*(E10+(E11-E10)*E6/(E13*J15))</f>
        <v>10.992996890242587</v>
      </c>
      <c r="H16" s="14" t="s">
        <v>13</v>
      </c>
      <c r="I16" s="14" t="s">
        <v>20</v>
      </c>
      <c r="J16" s="20">
        <v>10.992996887534655</v>
      </c>
      <c r="K16" s="14" t="s">
        <v>13</v>
      </c>
    </row>
    <row r="17" spans="1:11" x14ac:dyDescent="0.2">
      <c r="A17" s="22">
        <v>11</v>
      </c>
      <c r="B17" s="27">
        <f>'Metodo 1'!B17</f>
        <v>739.7</v>
      </c>
      <c r="C17" s="2"/>
      <c r="D17" s="2" t="s">
        <v>23</v>
      </c>
      <c r="E17" s="14" t="s">
        <v>24</v>
      </c>
      <c r="F17" s="14" t="s">
        <v>20</v>
      </c>
      <c r="G17" s="15">
        <f>G15*E9-E6*G16</f>
        <v>34.191694650582875</v>
      </c>
      <c r="H17" s="14" t="s">
        <v>28</v>
      </c>
      <c r="I17" s="19"/>
      <c r="J17" s="21"/>
      <c r="K17" s="19"/>
    </row>
    <row r="18" spans="1:11" x14ac:dyDescent="0.2">
      <c r="A18" s="22">
        <v>12</v>
      </c>
      <c r="B18" s="27">
        <f>'Metodo 1'!B18</f>
        <v>796.76</v>
      </c>
      <c r="C18" s="2"/>
      <c r="D18" s="2" t="s">
        <v>26</v>
      </c>
      <c r="E18" s="14" t="s">
        <v>27</v>
      </c>
      <c r="F18" s="14" t="s">
        <v>20</v>
      </c>
      <c r="G18" s="15">
        <f>G17/E7</f>
        <v>37.990771833980972</v>
      </c>
      <c r="H18" s="14" t="s">
        <v>25</v>
      </c>
      <c r="I18" s="19"/>
      <c r="J18" s="21"/>
      <c r="K18" s="19"/>
    </row>
    <row r="19" spans="1:11" x14ac:dyDescent="0.2">
      <c r="A19" s="22">
        <v>13</v>
      </c>
      <c r="B19" s="27">
        <f>'Metodo 1'!B19</f>
        <v>791.05</v>
      </c>
      <c r="C19" s="2"/>
      <c r="D19" s="2"/>
      <c r="E19" s="2"/>
      <c r="F19" s="2"/>
      <c r="G19" s="2"/>
      <c r="H19" s="2"/>
    </row>
    <row r="20" spans="1:11" x14ac:dyDescent="0.2">
      <c r="A20" s="22">
        <v>14</v>
      </c>
      <c r="B20" s="27">
        <f>'Metodo 1'!B20</f>
        <v>704.54</v>
      </c>
      <c r="C20" s="2"/>
      <c r="D20" s="2"/>
      <c r="E20" s="2"/>
      <c r="F20" s="2"/>
      <c r="G20" s="2"/>
      <c r="H20" s="2"/>
    </row>
    <row r="21" spans="1:11" x14ac:dyDescent="0.2">
      <c r="A21" s="22">
        <v>15</v>
      </c>
      <c r="B21" s="27">
        <f>'Metodo 1'!B21</f>
        <v>553.16</v>
      </c>
      <c r="C21" s="2"/>
      <c r="D21" s="2"/>
      <c r="E21" s="2"/>
      <c r="F21" s="2"/>
      <c r="G21" s="2"/>
      <c r="H21" s="2"/>
    </row>
    <row r="22" spans="1:11" x14ac:dyDescent="0.2">
      <c r="A22" s="22">
        <v>16</v>
      </c>
      <c r="B22" s="27">
        <f>'Metodo 1'!B22</f>
        <v>374.21</v>
      </c>
      <c r="C22" s="2"/>
      <c r="D22" s="2"/>
      <c r="E22" s="2"/>
      <c r="F22" s="2"/>
      <c r="G22" s="2"/>
      <c r="H22" s="2"/>
    </row>
    <row r="23" spans="1:11" x14ac:dyDescent="0.2">
      <c r="A23" s="22">
        <v>17</v>
      </c>
      <c r="B23" s="27">
        <f>'Metodo 1'!B23</f>
        <v>192.63</v>
      </c>
      <c r="C23" s="2"/>
      <c r="D23" s="2"/>
      <c r="E23" s="2"/>
      <c r="F23" s="2"/>
      <c r="G23" s="2"/>
      <c r="H23" s="2"/>
    </row>
    <row r="24" spans="1:11" x14ac:dyDescent="0.2">
      <c r="A24" s="22">
        <v>18</v>
      </c>
      <c r="B24" s="27">
        <f>'Metodo 1'!B24</f>
        <v>45.6</v>
      </c>
      <c r="C24" s="2"/>
      <c r="D24" s="2"/>
      <c r="E24" s="2"/>
      <c r="F24" s="2"/>
      <c r="G24" s="2"/>
      <c r="H24" s="2"/>
    </row>
    <row r="25" spans="1:11" x14ac:dyDescent="0.2">
      <c r="A25" s="22">
        <v>19</v>
      </c>
      <c r="B25" s="27">
        <f>'Metodo 1'!B25</f>
        <v>0.35</v>
      </c>
      <c r="C25" s="2"/>
      <c r="D25" s="2"/>
      <c r="E25" s="2"/>
      <c r="F25" s="2"/>
      <c r="G25" s="2"/>
      <c r="H25" s="2"/>
    </row>
    <row r="26" spans="1:11" x14ac:dyDescent="0.2">
      <c r="A26" s="22">
        <v>20</v>
      </c>
      <c r="B26" s="27">
        <f>'Metodo 1'!B26</f>
        <v>0</v>
      </c>
      <c r="C26" s="2"/>
      <c r="D26" s="2"/>
      <c r="E26" s="2"/>
      <c r="F26" s="2"/>
      <c r="G26" s="2"/>
      <c r="H26" s="2"/>
    </row>
    <row r="27" spans="1:11" x14ac:dyDescent="0.2">
      <c r="A27" s="22">
        <v>21</v>
      </c>
      <c r="B27" s="27">
        <f>'Metodo 1'!B27</f>
        <v>0</v>
      </c>
      <c r="C27" s="2"/>
      <c r="D27" s="2"/>
      <c r="E27" s="2"/>
      <c r="F27" s="2"/>
      <c r="G27" s="2"/>
      <c r="H27" s="2"/>
    </row>
    <row r="28" spans="1:11" x14ac:dyDescent="0.2">
      <c r="A28" s="22">
        <v>22</v>
      </c>
      <c r="B28" s="27">
        <f>'Metodo 1'!B28</f>
        <v>0</v>
      </c>
      <c r="C28" s="2"/>
      <c r="D28" s="2"/>
      <c r="E28" s="2"/>
      <c r="F28" s="2"/>
      <c r="G28" s="2"/>
      <c r="H28" s="2"/>
    </row>
    <row r="29" spans="1:11" x14ac:dyDescent="0.2">
      <c r="A29" s="22">
        <v>23</v>
      </c>
      <c r="B29" s="27">
        <f>'Metodo 1'!B29</f>
        <v>0</v>
      </c>
      <c r="C29" s="2"/>
      <c r="D29" s="2"/>
      <c r="E29" s="2"/>
      <c r="F29" s="2"/>
      <c r="G29" s="2"/>
      <c r="H29" s="2"/>
    </row>
    <row r="30" spans="1:11" x14ac:dyDescent="0.2">
      <c r="A30" s="24">
        <v>24</v>
      </c>
      <c r="B30" s="25">
        <f>'Metodo 1'!B30</f>
        <v>0</v>
      </c>
      <c r="C30" s="2"/>
      <c r="D30" s="2"/>
      <c r="E30" s="2"/>
      <c r="F30" s="2"/>
      <c r="G30" s="2"/>
      <c r="H30" s="2"/>
    </row>
    <row r="31" spans="1:11" x14ac:dyDescent="0.2">
      <c r="A31" s="3"/>
      <c r="B31" s="3"/>
      <c r="C31" s="2"/>
      <c r="D31" s="2"/>
      <c r="E31" s="2"/>
      <c r="F31" s="2"/>
      <c r="G31" s="2"/>
      <c r="H31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Metodo 1</vt:lpstr>
      <vt:lpstr>Metodo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Manuel De oliveira de jesus</dc:creator>
  <cp:lastModifiedBy>Paulo Manuel De oliveira de jesus</cp:lastModifiedBy>
  <dcterms:created xsi:type="dcterms:W3CDTF">2025-08-17T19:50:59Z</dcterms:created>
  <dcterms:modified xsi:type="dcterms:W3CDTF">2025-12-20T14:39:21Z</dcterms:modified>
</cp:coreProperties>
</file>